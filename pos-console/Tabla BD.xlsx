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03"/>
  <workbookPr/>
  <mc:AlternateContent xmlns:mc="http://schemas.openxmlformats.org/markup-compatibility/2006">
    <mc:Choice Requires="x15">
      <x15ac:absPath xmlns:x15ac="http://schemas.microsoft.com/office/spreadsheetml/2010/11/ac" url="D:\Users\lfirpo\Desktop\Ufhec\Lenguaje de Programacion III\"/>
    </mc:Choice>
  </mc:AlternateContent>
  <xr:revisionPtr revIDLastSave="0" documentId="8_{6025C990-A8D5-4D66-8039-71D5A86253BE}" xr6:coauthVersionLast="47" xr6:coauthVersionMax="47" xr10:uidLastSave="{00000000-0000-0000-0000-000000000000}"/>
  <bookViews>
    <workbookView xWindow="0" yWindow="0" windowWidth="24000" windowHeight="930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J13" i="1"/>
  <c r="J12" i="1"/>
  <c r="J11" i="1"/>
  <c r="J6" i="1"/>
  <c r="J7" i="1"/>
  <c r="J8" i="1"/>
  <c r="J9" i="1"/>
  <c r="J10" i="1"/>
  <c r="J5" i="1"/>
</calcChain>
</file>

<file path=xl/sharedStrings.xml><?xml version="1.0" encoding="utf-8"?>
<sst xmlns="http://schemas.openxmlformats.org/spreadsheetml/2006/main" count="137" uniqueCount="90">
  <si>
    <t>Listado Diario de Ventas</t>
  </si>
  <si>
    <t>ABC Company</t>
  </si>
  <si>
    <t>Nombre Cliente</t>
  </si>
  <si>
    <t>Direccion</t>
  </si>
  <si>
    <t>Telefono</t>
  </si>
  <si>
    <t>Correo</t>
  </si>
  <si>
    <t>Cantidad</t>
  </si>
  <si>
    <t>Producto</t>
  </si>
  <si>
    <t>Marca</t>
  </si>
  <si>
    <t>Tipo</t>
  </si>
  <si>
    <t>Precio</t>
  </si>
  <si>
    <t>Monto</t>
  </si>
  <si>
    <t>Total</t>
  </si>
  <si>
    <t>Pago</t>
  </si>
  <si>
    <t>Angel Martinez</t>
  </si>
  <si>
    <t>C/ Obispo, #25, Villa Mella, Santo Domingo Norte</t>
  </si>
  <si>
    <t>(Casa)8094568978, (Flota)8492500000</t>
  </si>
  <si>
    <t>Angelp@hotmail.com</t>
  </si>
  <si>
    <t>Jabon de Bañarse</t>
  </si>
  <si>
    <t>Dove</t>
  </si>
  <si>
    <t>Pasta</t>
  </si>
  <si>
    <t>Efectivo</t>
  </si>
  <si>
    <t>Aceite de Soya</t>
  </si>
  <si>
    <t>Crisol</t>
  </si>
  <si>
    <t>Galon</t>
  </si>
  <si>
    <t>Lechuga</t>
  </si>
  <si>
    <t>Generica</t>
  </si>
  <si>
    <t>Paquete</t>
  </si>
  <si>
    <t>Tuna</t>
  </si>
  <si>
    <t>Paco Fish</t>
  </si>
  <si>
    <t>Lata 8oz</t>
  </si>
  <si>
    <t>Marcial Ascensio</t>
  </si>
  <si>
    <t>C/Juana Mendez 25, Edificio Don Onorio I, Piso 2, Apto 203, Ens. Luperon, Distrito Nacional</t>
  </si>
  <si>
    <t>(Casa)8095342055, (Movil)8295640202</t>
  </si>
  <si>
    <t>marcialAsc25@claro.net, mascensio@mitrabajo.com</t>
  </si>
  <si>
    <t>Desodorante</t>
  </si>
  <si>
    <t>Rexona</t>
  </si>
  <si>
    <t>Esprey</t>
  </si>
  <si>
    <t>Tarjeta de Credito</t>
  </si>
  <si>
    <t>Afeitadora</t>
  </si>
  <si>
    <t>Big</t>
  </si>
  <si>
    <t>Paquete 12</t>
  </si>
  <si>
    <t>Maria De los Angeles Reynoso</t>
  </si>
  <si>
    <t>C/El peñon 45, manz 12, Peaton 2, Los Alamos, SDO</t>
  </si>
  <si>
    <t>(Casa)8095634545</t>
  </si>
  <si>
    <t>Papel de Baño</t>
  </si>
  <si>
    <t>Domino</t>
  </si>
  <si>
    <t>Paquete de 4</t>
  </si>
  <si>
    <t>Bono Navideño</t>
  </si>
  <si>
    <t>Espaguetti</t>
  </si>
  <si>
    <t>Princesa</t>
  </si>
  <si>
    <t>Unidad</t>
  </si>
  <si>
    <t>Pan de Agua</t>
  </si>
  <si>
    <t>Generico</t>
  </si>
  <si>
    <t>Sopita</t>
  </si>
  <si>
    <t>Doña Gallina</t>
  </si>
  <si>
    <t>Cliente</t>
  </si>
  <si>
    <t>Id</t>
  </si>
  <si>
    <t>Nombres</t>
  </si>
  <si>
    <t>Apellidos</t>
  </si>
  <si>
    <t>Identificación</t>
  </si>
  <si>
    <t>FechaRegistro</t>
  </si>
  <si>
    <t>Activo</t>
  </si>
  <si>
    <t>ClienteId</t>
  </si>
  <si>
    <t>Calle</t>
  </si>
  <si>
    <t>No</t>
  </si>
  <si>
    <t>Apto</t>
  </si>
  <si>
    <t>Residencial</t>
  </si>
  <si>
    <t>ProvinciaId</t>
  </si>
  <si>
    <t>MunicipioId</t>
  </si>
  <si>
    <t>SeccionId</t>
  </si>
  <si>
    <t>SectorId</t>
  </si>
  <si>
    <t>Referencia</t>
  </si>
  <si>
    <t>Angel</t>
  </si>
  <si>
    <t>Martinez</t>
  </si>
  <si>
    <t>00000000000</t>
  </si>
  <si>
    <t>Principal</t>
  </si>
  <si>
    <t>Alameda</t>
  </si>
  <si>
    <t>Frente a la Iglesia</t>
  </si>
  <si>
    <t>Provincia</t>
  </si>
  <si>
    <t>Municipio</t>
  </si>
  <si>
    <t>ID</t>
  </si>
  <si>
    <t>Descripcion</t>
  </si>
  <si>
    <t>ProvinciaID</t>
  </si>
  <si>
    <t>Tipo Telefono</t>
  </si>
  <si>
    <t>Correo_Electronico</t>
  </si>
  <si>
    <t>Seccion</t>
  </si>
  <si>
    <t>Sector</t>
  </si>
  <si>
    <t>Descripción</t>
  </si>
  <si>
    <t>MunicipioID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</si>
</sst>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49" fontId="0" fillId="0" borderId="0" xfId="0" applyNumberFormat="1"/>
    <xf numFmtId="14" fontId="0" fillId="0" borderId="0" xfId="0" applyNumberFormat="1"/>
    <xf numFmtId="0" fontId="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gelp@hotmail.com" TargetMode="External"/><Relationship Id="rId2" Type="http://schemas.openxmlformats.org/officeDocument/2006/relationships/hyperlink" Target="mailto:Angelp@hotmail.com" TargetMode="External"/><Relationship Id="rId1" Type="http://schemas.openxmlformats.org/officeDocument/2006/relationships/hyperlink" Target="mailto:Angelp@hot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ngelp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A2" sqref="A2:L2"/>
    </sheetView>
  </sheetViews>
  <sheetFormatPr defaultRowHeight="43.5" customHeight="1"/>
  <cols>
    <col min="1" max="1" width="27.85546875" style="1" customWidth="1"/>
    <col min="2" max="2" width="45.85546875" style="1" customWidth="1"/>
    <col min="3" max="3" width="17.42578125" style="1" customWidth="1"/>
    <col min="4" max="4" width="25" style="1" customWidth="1"/>
    <col min="5" max="5" width="9.140625" style="1"/>
    <col min="6" max="6" width="16.42578125" style="1" bestFit="1" customWidth="1"/>
    <col min="7" max="7" width="12.140625" style="1" bestFit="1" customWidth="1"/>
    <col min="8" max="8" width="12.5703125" style="1" bestFit="1" customWidth="1"/>
    <col min="9" max="11" width="9.140625" style="1"/>
    <col min="12" max="12" width="17" style="1" bestFit="1" customWidth="1"/>
    <col min="13" max="16384" width="9.140625" style="1"/>
  </cols>
  <sheetData>
    <row r="1" spans="1:12" ht="2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21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ht="15"/>
    <row r="4" spans="1:12" ht="1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</row>
    <row r="5" spans="1:12" ht="30">
      <c r="A5" s="2" t="s">
        <v>14</v>
      </c>
      <c r="B5" s="3" t="s">
        <v>15</v>
      </c>
      <c r="C5" s="4" t="s">
        <v>16</v>
      </c>
      <c r="D5" s="5" t="s">
        <v>17</v>
      </c>
      <c r="E5" s="2">
        <v>2</v>
      </c>
      <c r="F5" s="2" t="s">
        <v>18</v>
      </c>
      <c r="G5" s="2" t="s">
        <v>19</v>
      </c>
      <c r="H5" s="2" t="s">
        <v>20</v>
      </c>
      <c r="I5" s="2">
        <v>105</v>
      </c>
      <c r="J5" s="2">
        <f>E5*I5</f>
        <v>210</v>
      </c>
      <c r="K5" s="2">
        <v>935</v>
      </c>
      <c r="L5" s="2" t="s">
        <v>21</v>
      </c>
    </row>
    <row r="6" spans="1:12" ht="30">
      <c r="A6" s="2" t="s">
        <v>14</v>
      </c>
      <c r="B6" s="3" t="s">
        <v>15</v>
      </c>
      <c r="C6" s="4" t="s">
        <v>16</v>
      </c>
      <c r="D6" s="5" t="s">
        <v>17</v>
      </c>
      <c r="E6" s="2">
        <v>1</v>
      </c>
      <c r="F6" s="2" t="s">
        <v>22</v>
      </c>
      <c r="G6" s="2" t="s">
        <v>23</v>
      </c>
      <c r="H6" s="2" t="s">
        <v>24</v>
      </c>
      <c r="I6" s="2">
        <v>405</v>
      </c>
      <c r="J6" s="2">
        <f t="shared" ref="J6:J14" si="0">E6*I6</f>
        <v>405</v>
      </c>
      <c r="K6" s="2">
        <v>935</v>
      </c>
      <c r="L6" s="2" t="s">
        <v>21</v>
      </c>
    </row>
    <row r="7" spans="1:12" ht="30">
      <c r="A7" s="2" t="s">
        <v>14</v>
      </c>
      <c r="B7" s="3" t="s">
        <v>15</v>
      </c>
      <c r="C7" s="4" t="s">
        <v>16</v>
      </c>
      <c r="D7" s="5" t="s">
        <v>17</v>
      </c>
      <c r="E7" s="2">
        <v>1</v>
      </c>
      <c r="F7" s="2" t="s">
        <v>25</v>
      </c>
      <c r="G7" s="2" t="s">
        <v>26</v>
      </c>
      <c r="H7" s="2" t="s">
        <v>27</v>
      </c>
      <c r="I7" s="2">
        <v>45</v>
      </c>
      <c r="J7" s="2">
        <f t="shared" si="0"/>
        <v>45</v>
      </c>
      <c r="K7" s="2">
        <v>935</v>
      </c>
      <c r="L7" s="2" t="s">
        <v>21</v>
      </c>
    </row>
    <row r="8" spans="1:12" ht="30">
      <c r="A8" s="2" t="s">
        <v>14</v>
      </c>
      <c r="B8" s="3" t="s">
        <v>15</v>
      </c>
      <c r="C8" s="4" t="s">
        <v>16</v>
      </c>
      <c r="D8" s="5" t="s">
        <v>17</v>
      </c>
      <c r="E8" s="2">
        <v>5</v>
      </c>
      <c r="F8" s="2" t="s">
        <v>28</v>
      </c>
      <c r="G8" s="2" t="s">
        <v>29</v>
      </c>
      <c r="H8" s="2" t="s">
        <v>30</v>
      </c>
      <c r="I8" s="2">
        <v>55</v>
      </c>
      <c r="J8" s="2">
        <f t="shared" si="0"/>
        <v>275</v>
      </c>
      <c r="K8" s="2">
        <v>935</v>
      </c>
      <c r="L8" s="2" t="s">
        <v>21</v>
      </c>
    </row>
    <row r="9" spans="1:12" ht="45">
      <c r="A9" s="2" t="s">
        <v>31</v>
      </c>
      <c r="B9" s="3" t="s">
        <v>32</v>
      </c>
      <c r="C9" s="3" t="s">
        <v>33</v>
      </c>
      <c r="D9" s="3" t="s">
        <v>34</v>
      </c>
      <c r="E9" s="2">
        <v>2</v>
      </c>
      <c r="F9" s="2" t="s">
        <v>35</v>
      </c>
      <c r="G9" s="2" t="s">
        <v>36</v>
      </c>
      <c r="H9" s="2" t="s">
        <v>37</v>
      </c>
      <c r="I9" s="2">
        <v>175</v>
      </c>
      <c r="J9" s="2">
        <f t="shared" si="0"/>
        <v>350</v>
      </c>
      <c r="K9" s="2">
        <v>560</v>
      </c>
      <c r="L9" s="2" t="s">
        <v>38</v>
      </c>
    </row>
    <row r="10" spans="1:12" ht="45">
      <c r="A10" s="2" t="s">
        <v>31</v>
      </c>
      <c r="B10" s="3" t="s">
        <v>32</v>
      </c>
      <c r="C10" s="3" t="s">
        <v>33</v>
      </c>
      <c r="D10" s="3" t="s">
        <v>34</v>
      </c>
      <c r="E10" s="2">
        <v>1</v>
      </c>
      <c r="F10" s="2" t="s">
        <v>39</v>
      </c>
      <c r="G10" s="2" t="s">
        <v>40</v>
      </c>
      <c r="H10" s="2" t="s">
        <v>41</v>
      </c>
      <c r="I10" s="2">
        <v>210</v>
      </c>
      <c r="J10" s="2">
        <f t="shared" si="0"/>
        <v>210</v>
      </c>
      <c r="K10" s="2">
        <v>560</v>
      </c>
      <c r="L10" s="2" t="s">
        <v>38</v>
      </c>
    </row>
    <row r="11" spans="1:12" ht="30">
      <c r="A11" s="2" t="s">
        <v>42</v>
      </c>
      <c r="B11" s="3" t="s">
        <v>43</v>
      </c>
      <c r="C11" s="4" t="s">
        <v>44</v>
      </c>
      <c r="D11" s="3"/>
      <c r="E11" s="2">
        <v>1</v>
      </c>
      <c r="F11" s="2" t="s">
        <v>45</v>
      </c>
      <c r="G11" s="2" t="s">
        <v>46</v>
      </c>
      <c r="H11" s="2" t="s">
        <v>47</v>
      </c>
      <c r="I11" s="2">
        <v>200</v>
      </c>
      <c r="J11" s="2">
        <f t="shared" si="0"/>
        <v>200</v>
      </c>
      <c r="K11" s="2">
        <v>525</v>
      </c>
      <c r="L11" s="2" t="s">
        <v>48</v>
      </c>
    </row>
    <row r="12" spans="1:12" ht="30">
      <c r="A12" s="2" t="s">
        <v>42</v>
      </c>
      <c r="B12" s="3" t="s">
        <v>43</v>
      </c>
      <c r="C12" s="4" t="s">
        <v>44</v>
      </c>
      <c r="D12" s="3"/>
      <c r="E12" s="2">
        <v>5</v>
      </c>
      <c r="F12" s="2" t="s">
        <v>49</v>
      </c>
      <c r="G12" s="2" t="s">
        <v>50</v>
      </c>
      <c r="H12" s="2" t="s">
        <v>51</v>
      </c>
      <c r="I12" s="2">
        <v>30</v>
      </c>
      <c r="J12" s="2">
        <f t="shared" si="0"/>
        <v>150</v>
      </c>
      <c r="K12" s="2">
        <v>525</v>
      </c>
      <c r="L12" s="2" t="s">
        <v>48</v>
      </c>
    </row>
    <row r="13" spans="1:12" ht="30">
      <c r="A13" s="2" t="s">
        <v>42</v>
      </c>
      <c r="B13" s="3" t="s">
        <v>43</v>
      </c>
      <c r="C13" s="4" t="s">
        <v>44</v>
      </c>
      <c r="D13" s="3"/>
      <c r="E13" s="2">
        <v>1</v>
      </c>
      <c r="F13" s="2" t="s">
        <v>52</v>
      </c>
      <c r="G13" s="2" t="s">
        <v>53</v>
      </c>
      <c r="H13" s="2" t="s">
        <v>27</v>
      </c>
      <c r="I13" s="2">
        <v>55</v>
      </c>
      <c r="J13" s="2">
        <f t="shared" si="0"/>
        <v>55</v>
      </c>
      <c r="K13" s="2">
        <v>525</v>
      </c>
      <c r="L13" s="2" t="s">
        <v>48</v>
      </c>
    </row>
    <row r="14" spans="1:12" ht="30">
      <c r="A14" s="2" t="s">
        <v>42</v>
      </c>
      <c r="B14" s="3" t="s">
        <v>43</v>
      </c>
      <c r="C14" s="4" t="s">
        <v>44</v>
      </c>
      <c r="D14" s="3"/>
      <c r="E14" s="2">
        <v>12</v>
      </c>
      <c r="F14" s="2" t="s">
        <v>54</v>
      </c>
      <c r="G14" s="2" t="s">
        <v>55</v>
      </c>
      <c r="H14" s="2" t="s">
        <v>51</v>
      </c>
      <c r="I14" s="2">
        <v>10</v>
      </c>
      <c r="J14" s="2">
        <f t="shared" si="0"/>
        <v>120</v>
      </c>
      <c r="K14" s="2">
        <v>525</v>
      </c>
      <c r="L14" s="2" t="s">
        <v>48</v>
      </c>
    </row>
  </sheetData>
  <mergeCells count="2">
    <mergeCell ref="A1:L1"/>
    <mergeCell ref="A2:L2"/>
  </mergeCells>
  <hyperlinks>
    <hyperlink ref="D5" r:id="rId1" xr:uid="{00000000-0004-0000-0000-000000000000}"/>
    <hyperlink ref="D6" r:id="rId2" xr:uid="{00000000-0004-0000-0000-000001000000}"/>
    <hyperlink ref="D7" r:id="rId3" xr:uid="{00000000-0004-0000-0000-000002000000}"/>
    <hyperlink ref="D8" r:id="rId4" xr:uid="{00000000-0004-0000-0000-000003000000}"/>
  </hyperlinks>
  <pageMargins left="0.7" right="0.7" top="0.75" bottom="0.75" header="0.3" footer="0.3"/>
  <pageSetup orientation="landscape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T20"/>
  <sheetViews>
    <sheetView workbookViewId="0">
      <selection activeCell="N12" sqref="N12"/>
    </sheetView>
  </sheetViews>
  <sheetFormatPr defaultRowHeight="15"/>
  <cols>
    <col min="4" max="4" width="11.28515625" bestFit="1" customWidth="1"/>
    <col min="5" max="5" width="13.28515625" bestFit="1" customWidth="1"/>
    <col min="6" max="6" width="9.7109375" bestFit="1" customWidth="1"/>
    <col min="20" max="20" width="16.5703125" bestFit="1" customWidth="1"/>
  </cols>
  <sheetData>
    <row r="3" spans="2:20">
      <c r="C3" t="s">
        <v>56</v>
      </c>
      <c r="J3" t="s">
        <v>3</v>
      </c>
    </row>
    <row r="4" spans="2:20">
      <c r="B4" t="s">
        <v>57</v>
      </c>
      <c r="C4" t="s">
        <v>58</v>
      </c>
      <c r="D4" t="s">
        <v>59</v>
      </c>
      <c r="E4" t="s">
        <v>60</v>
      </c>
      <c r="F4" t="s">
        <v>61</v>
      </c>
      <c r="G4" t="s">
        <v>62</v>
      </c>
      <c r="J4" t="s">
        <v>57</v>
      </c>
      <c r="K4" t="s">
        <v>63</v>
      </c>
      <c r="L4" t="s">
        <v>64</v>
      </c>
      <c r="M4" t="s">
        <v>65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</row>
    <row r="5" spans="2:20">
      <c r="B5">
        <v>1</v>
      </c>
      <c r="C5" t="s">
        <v>73</v>
      </c>
      <c r="D5" t="s">
        <v>74</v>
      </c>
      <c r="E5" s="7" t="s">
        <v>75</v>
      </c>
      <c r="F5" s="8">
        <v>34742</v>
      </c>
      <c r="G5">
        <v>1</v>
      </c>
      <c r="J5">
        <v>1</v>
      </c>
      <c r="K5">
        <v>1</v>
      </c>
      <c r="L5" t="s">
        <v>76</v>
      </c>
      <c r="M5">
        <v>25</v>
      </c>
      <c r="O5" t="s">
        <v>77</v>
      </c>
      <c r="P5">
        <v>1</v>
      </c>
      <c r="Q5">
        <v>1</v>
      </c>
      <c r="R5">
        <v>1</v>
      </c>
      <c r="S5">
        <v>1</v>
      </c>
      <c r="T5" t="s">
        <v>78</v>
      </c>
    </row>
    <row r="6" spans="2:20">
      <c r="B6">
        <v>2</v>
      </c>
    </row>
    <row r="7" spans="2:20">
      <c r="B7">
        <v>3</v>
      </c>
    </row>
    <row r="13" spans="2:20">
      <c r="C13" t="s">
        <v>79</v>
      </c>
      <c r="F13" t="s">
        <v>80</v>
      </c>
    </row>
    <row r="14" spans="2:20">
      <c r="C14" t="s">
        <v>81</v>
      </c>
      <c r="D14" t="s">
        <v>82</v>
      </c>
      <c r="F14" t="s">
        <v>57</v>
      </c>
      <c r="G14" t="s">
        <v>82</v>
      </c>
      <c r="H14" t="s">
        <v>83</v>
      </c>
    </row>
    <row r="15" spans="2:20">
      <c r="C15">
        <v>1</v>
      </c>
      <c r="F15">
        <v>1</v>
      </c>
    </row>
    <row r="17" spans="3:17">
      <c r="M17" t="s">
        <v>84</v>
      </c>
      <c r="P17" t="s">
        <v>85</v>
      </c>
    </row>
    <row r="18" spans="3:17">
      <c r="C18" t="s">
        <v>86</v>
      </c>
      <c r="F18" t="s">
        <v>87</v>
      </c>
      <c r="M18" t="s">
        <v>81</v>
      </c>
      <c r="N18" t="s">
        <v>82</v>
      </c>
      <c r="P18" t="s">
        <v>81</v>
      </c>
      <c r="Q18" t="s">
        <v>88</v>
      </c>
    </row>
    <row r="19" spans="3:17">
      <c r="C19" t="s">
        <v>57</v>
      </c>
      <c r="D19" t="s">
        <v>88</v>
      </c>
      <c r="E19" t="s">
        <v>69</v>
      </c>
      <c r="F19" t="s">
        <v>57</v>
      </c>
      <c r="G19" t="s">
        <v>82</v>
      </c>
      <c r="H19" t="s">
        <v>89</v>
      </c>
      <c r="I19" t="s">
        <v>70</v>
      </c>
      <c r="M19">
        <v>1</v>
      </c>
      <c r="P19">
        <v>1</v>
      </c>
    </row>
    <row r="20" spans="3:17">
      <c r="C20">
        <v>1</v>
      </c>
      <c r="F20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67e5aff6-bb2b-470a-a52e-466bc52e10a2" xsi:nil="true"/>
    <lcf76f155ced4ddcb4097134ff3c332f xmlns="67e5aff6-bb2b-470a-a52e-466bc52e10a2">
      <Terms xmlns="http://schemas.microsoft.com/office/infopath/2007/PartnerControls"/>
    </lcf76f155ced4ddcb4097134ff3c332f>
    <TaxCatchAll xmlns="a7af06ce-1306-4a20-822c-342d7296631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A599C1D59C2640B5CBF6F62991E475" ma:contentTypeVersion="12" ma:contentTypeDescription="Create a new document." ma:contentTypeScope="" ma:versionID="7902749fbfc649ade9f99cdb7c18cc61">
  <xsd:schema xmlns:xsd="http://www.w3.org/2001/XMLSchema" xmlns:xs="http://www.w3.org/2001/XMLSchema" xmlns:p="http://schemas.microsoft.com/office/2006/metadata/properties" xmlns:ns2="67e5aff6-bb2b-470a-a52e-466bc52e10a2" xmlns:ns3="a7af06ce-1306-4a20-822c-342d72966319" targetNamespace="http://schemas.microsoft.com/office/2006/metadata/properties" ma:root="true" ma:fieldsID="325ee959ee07355f5eaddada4515b9c6" ns2:_="" ns3:_="">
    <xsd:import namespace="67e5aff6-bb2b-470a-a52e-466bc52e10a2"/>
    <xsd:import namespace="a7af06ce-1306-4a20-822c-342d7296631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e5aff6-bb2b-470a-a52e-466bc52e10a2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11f4bc0-85d1-4850-80b7-468dafd32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af06ce-1306-4a20-822c-342d7296631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b405255-2470-455a-8335-5f4d67447fc6}" ma:internalName="TaxCatchAll" ma:showField="CatchAllData" ma:web="a7af06ce-1306-4a20-822c-342d729663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3C7074-C5FD-4354-8FCF-7339BD0A0317}"/>
</file>

<file path=customXml/itemProps2.xml><?xml version="1.0" encoding="utf-8"?>
<ds:datastoreItem xmlns:ds="http://schemas.openxmlformats.org/officeDocument/2006/customXml" ds:itemID="{21DC9E08-2CBC-44FF-802F-0E57C333654B}"/>
</file>

<file path=customXml/itemProps3.xml><?xml version="1.0" encoding="utf-8"?>
<ds:datastoreItem xmlns:ds="http://schemas.openxmlformats.org/officeDocument/2006/customXml" ds:itemID="{5FF3A0FC-D865-488B-BC59-4B89A43A72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R. FIRPO</dc:creator>
  <cp:keywords/>
  <dc:description/>
  <cp:lastModifiedBy/>
  <cp:revision/>
  <dcterms:created xsi:type="dcterms:W3CDTF">2024-02-11T15:16:33Z</dcterms:created>
  <dcterms:modified xsi:type="dcterms:W3CDTF">2025-04-15T17:15:40Z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0x010100C3A599C1D59C2640B5CBF6F62991E475</vt:lpwstr>
  </property>
</Properties>
</file>